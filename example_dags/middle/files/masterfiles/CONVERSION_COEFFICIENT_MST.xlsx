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duser\Desktop\"/>
    </mc:Choice>
  </mc:AlternateContent>
  <xr:revisionPtr revIDLastSave="0" documentId="13_ncr:1_{9A94E4F0-8AE5-4CD0-91FB-F8D0E88529E1}" xr6:coauthVersionLast="47" xr6:coauthVersionMax="47" xr10:uidLastSave="{00000000-0000-0000-0000-000000000000}"/>
  <bookViews>
    <workbookView xWindow="-120" yWindow="-120" windowWidth="29040" windowHeight="15720" xr2:uid="{68A0BC11-72AA-4852-B4DE-BFA38748D3AD}"/>
  </bookViews>
  <sheets>
    <sheet name="CONVERSION_COEFFICIENT_MST" sheetId="1" r:id="rId1"/>
  </sheets>
  <externalReferences>
    <externalReference r:id="rId2"/>
    <externalReference r:id="rId3"/>
  </externalReferences>
  <definedNames>
    <definedName name="_1表月計Q">#REF!</definedName>
    <definedName name="_2021年度自家発電">#REF!</definedName>
    <definedName name="_3表Ｐ月計q">#REF!</definedName>
    <definedName name="_3表一月計q">#REF!</definedName>
    <definedName name="_3表共月計q">#REF!</definedName>
    <definedName name="_4自家発月計q">#REF!</definedName>
    <definedName name="_5大口合計Q">#REF!</definedName>
    <definedName name="_8自家発出力">#REF!</definedName>
    <definedName name="_9下ﾃﾞｰﾀ">#REF!</definedName>
    <definedName name="_Fill" hidden="1">#REF!</definedName>
    <definedName name="_Order1" hidden="1">255</definedName>
    <definedName name="_Q030">#REF!</definedName>
    <definedName name="_Q040">#REF!</definedName>
    <definedName name="_Q050">#REF!</definedName>
    <definedName name="_Q060">#REF!</definedName>
    <definedName name="_Q080">#REF!</definedName>
    <definedName name="_Q090">#REF!</definedName>
    <definedName name="_Q100">#REF!</definedName>
    <definedName name="_Sort" hidden="1">#REF!</definedName>
    <definedName name="○×">#REF!</definedName>
    <definedName name="③【業種別】【大分類】排出量">#REF!</definedName>
    <definedName name="③【業種別】【中分類】排出量">#REF!</definedName>
    <definedName name="A">#REF!</definedName>
    <definedName name="A_農業_林業">#REF!</definedName>
    <definedName name="Area51">#REF!</definedName>
    <definedName name="b">#REF!</definedName>
    <definedName name="bbb">#REF!</definedName>
    <definedName name="CELLNOTE0">#REF!</definedName>
    <definedName name="dbo_V_施設カルテ">#REF!</definedName>
    <definedName name="HTML_CodePage" hidden="1">932</definedName>
    <definedName name="HTML_Control" hidden="1">{"'第２表'!$W$27:$AA$68"}</definedName>
    <definedName name="HTML_Description" hidden="1">""</definedName>
    <definedName name="HTML_Email" hidden="1">""</definedName>
    <definedName name="HTML_Header" hidden="1">"第１表印刷用"</definedName>
    <definedName name="HTML_LastUpdate" hidden="1">"平成 11/08/04 (水)"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"N:\速報作業中\MyHTMLg.htm"</definedName>
    <definedName name="HTML_PathTemplate" hidden="1">"N:\速報作業中\MyHTMLg.htm"</definedName>
    <definedName name="HTML_Title" hidden="1">"10FYｿｸﾎｰ"</definedName>
    <definedName name="karui">#REF!</definedName>
    <definedName name="pps推移" hidden="1">{"'第２表'!$W$27:$AA$68"}</definedName>
    <definedName name="_xlnm.Print_Area">#REF!</definedName>
    <definedName name="PRINT_AREA_MI">#REF!</definedName>
    <definedName name="PV稼働率">[2]前提数値!#REF!</definedName>
    <definedName name="PV稼働率_住宅">[2]前提数値!#REF!</definedName>
    <definedName name="PV稼働率①">[2]前提数値!#REF!</definedName>
    <definedName name="q_050">#REF!</definedName>
    <definedName name="q_060">#REF!</definedName>
    <definedName name="q_070">#REF!</definedName>
    <definedName name="q_080">#REF!</definedName>
    <definedName name="q_090">#REF!</definedName>
    <definedName name="q_100">#REF!</definedName>
    <definedName name="Q_拡大推計３_相関分析_総消費量_業務1">#REF!</definedName>
    <definedName name="Q_拡大推計３_相関分析_総消費量_業務2">#REF!</definedName>
    <definedName name="Q_拡大推計３_相関分析_総消費量_産業">#REF!</definedName>
    <definedName name="Q_拡大推計３売上高_相関分析_電力_製造業_中分類規模別">#REF!</definedName>
    <definedName name="Q_業種規模検証_データ作成_総消費量_活動指標_業務1">#REF!</definedName>
    <definedName name="Q_業種規模検証_データ作成_総消費量_活動指標_業務2">#REF!</definedName>
    <definedName name="Q_業種規模検証_データ作成_総消費量_活動指標_産業">#REF!</definedName>
    <definedName name="Q_業種規模検証_データ作成_燃料別_活動指標_業務1">#REF!</definedName>
    <definedName name="Q_業種規模検証_データ作成_燃料別_活動指標_業務2">#REF!</definedName>
    <definedName name="Q_業種規模検証_データ作成_燃料別_活動指標_産業">#REF!</definedName>
    <definedName name="Qセル分割_各">#REF!</definedName>
    <definedName name="あｇ202">#REF!</definedName>
    <definedName name="ああああ">#REF!</definedName>
    <definedName name="イチネン利益率">#REF!</definedName>
    <definedName name="クエリ3">#REF!</definedName>
    <definedName name="その他">#REF!</definedName>
    <definedName name="は">#REF!</definedName>
    <definedName name="プリント">#REF!</definedName>
    <definedName name="確認小前">#REF!</definedName>
    <definedName name="確認中前">#REF!</definedName>
    <definedName name="公共">#REF!</definedName>
    <definedName name="再エネ種別">#REF!</definedName>
    <definedName name="自己託送数量全量">#REF!</definedName>
    <definedName name="自己託送対象需要">#REF!</definedName>
    <definedName name="整合" comment="1　マップ〇　面積〇">#REF!</definedName>
    <definedName name="設置密度">#REF!</definedName>
    <definedName name="大分類">#REF!</definedName>
    <definedName name="単位選択肢">#REF!</definedName>
    <definedName name="中事業">#REF!</definedName>
    <definedName name="中分類">#REF!</definedName>
    <definedName name="中分類1">#REF!</definedName>
    <definedName name="中分類3">#REF!</definedName>
    <definedName name="中分類4">#REF!</definedName>
    <definedName name="中分類5">#REF!</definedName>
    <definedName name="中分類A">#REF!</definedName>
    <definedName name="中分類B">#REF!</definedName>
    <definedName name="中分類C">#REF!</definedName>
    <definedName name="中分類D">#REF!</definedName>
    <definedName name="中分類E">#REF!</definedName>
    <definedName name="中分類F">#REF!</definedName>
    <definedName name="中分類G">#REF!</definedName>
    <definedName name="中分類H">#REF!</definedName>
    <definedName name="中分類I">#REF!</definedName>
    <definedName name="中分類J">#REF!</definedName>
    <definedName name="中分類K">#REF!</definedName>
    <definedName name="中分類L">#REF!</definedName>
    <definedName name="中分類M">#REF!</definedName>
    <definedName name="中分類N">#REF!</definedName>
    <definedName name="中分類O">#REF!</definedName>
    <definedName name="中分類P">#REF!</definedName>
    <definedName name="中分類Q">#REF!</definedName>
    <definedName name="中分類R">#REF!</definedName>
    <definedName name="中分類S">#REF!</definedName>
    <definedName name="中分類コード">#REF!</definedName>
    <definedName name="内訳">#REF!</definedName>
    <definedName name="内訳表">#REF!</definedName>
    <definedName name="年間時間">#REF!</definedName>
    <definedName name="範囲小後">#REF!</definedName>
    <definedName name="範囲中後">#REF!</definedName>
    <definedName name="番号中">#REF!:#REF!</definedName>
    <definedName name="別紙１【変更】">#REF!</definedName>
    <definedName name="保険料" hidden="1">#REF!</definedName>
    <definedName name="民間">#REF!</definedName>
    <definedName name="名前定義_集約_DataStart">#REF!</definedName>
    <definedName name="面積係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2" i="1"/>
  <c r="I33" i="1"/>
</calcChain>
</file>

<file path=xl/sharedStrings.xml><?xml version="1.0" encoding="utf-8"?>
<sst xmlns="http://schemas.openxmlformats.org/spreadsheetml/2006/main" count="225" uniqueCount="101">
  <si>
    <t>m3</t>
  </si>
  <si>
    <t>公共下水道</t>
    <rPh sb="0" eb="2">
      <t>コウキョウ</t>
    </rPh>
    <rPh sb="2" eb="5">
      <t>ゲスイドウ</t>
    </rPh>
    <phoneticPr fontId="2"/>
  </si>
  <si>
    <t>その他</t>
    <rPh sb="2" eb="3">
      <t>タ</t>
    </rPh>
    <phoneticPr fontId="2"/>
  </si>
  <si>
    <t>000032</t>
  </si>
  <si>
    <t>水道および工業用水</t>
    <rPh sb="0" eb="2">
      <t>スイドウ</t>
    </rPh>
    <rPh sb="5" eb="7">
      <t>コウギョウ</t>
    </rPh>
    <rPh sb="7" eb="9">
      <t>ヨウスイ</t>
    </rPh>
    <phoneticPr fontId="2"/>
  </si>
  <si>
    <t>000031</t>
  </si>
  <si>
    <t>kWh</t>
  </si>
  <si>
    <t>電力</t>
    <rPh sb="0" eb="2">
      <t>デンリョク</t>
    </rPh>
    <phoneticPr fontId="2"/>
  </si>
  <si>
    <t>000030</t>
  </si>
  <si>
    <t>tCO2/kL</t>
  </si>
  <si>
    <t>tC/GJ</t>
  </si>
  <si>
    <t>GJ/kL</t>
  </si>
  <si>
    <t>L</t>
  </si>
  <si>
    <t>ジェット燃料油</t>
    <rPh sb="4" eb="6">
      <t>ネンリョウ</t>
    </rPh>
    <rPh sb="6" eb="7">
      <t>ユ</t>
    </rPh>
    <phoneticPr fontId="2"/>
  </si>
  <si>
    <t>燃料及び熱</t>
    <rPh sb="0" eb="2">
      <t>ネンリョウ</t>
    </rPh>
    <rPh sb="2" eb="3">
      <t>オヨ</t>
    </rPh>
    <rPh sb="4" eb="5">
      <t>ネツ</t>
    </rPh>
    <phoneticPr fontId="2"/>
  </si>
  <si>
    <t>000029</t>
  </si>
  <si>
    <t>tCO2/千Nm3</t>
  </si>
  <si>
    <t>Nm3</t>
  </si>
  <si>
    <t>転炉ガス</t>
  </si>
  <si>
    <t>000028</t>
  </si>
  <si>
    <t>高炉ガス</t>
  </si>
  <si>
    <t>000027</t>
  </si>
  <si>
    <t>コークス炉ガス</t>
  </si>
  <si>
    <t>000026</t>
  </si>
  <si>
    <t>tCO2/t</t>
  </si>
  <si>
    <t>GJ/t</t>
  </si>
  <si>
    <t>kg</t>
  </si>
  <si>
    <t>コールタール</t>
  </si>
  <si>
    <t>000025</t>
  </si>
  <si>
    <t>石炭コークス</t>
    <phoneticPr fontId="2"/>
  </si>
  <si>
    <t>000024</t>
  </si>
  <si>
    <t>無煙炭</t>
    <phoneticPr fontId="2"/>
  </si>
  <si>
    <t>000023</t>
  </si>
  <si>
    <t>一般炭</t>
    <phoneticPr fontId="2"/>
  </si>
  <si>
    <t>000022</t>
  </si>
  <si>
    <t>原料炭</t>
    <phoneticPr fontId="2"/>
  </si>
  <si>
    <t>000021</t>
  </si>
  <si>
    <t>その他可燃性天然ガス</t>
  </si>
  <si>
    <t>000020</t>
  </si>
  <si>
    <t>tCO2/千Nm3</t>
    <phoneticPr fontId="2"/>
  </si>
  <si>
    <t>石油系炭化水素ガス</t>
  </si>
  <si>
    <t>000019</t>
  </si>
  <si>
    <t>LNG</t>
  </si>
  <si>
    <t>000018</t>
  </si>
  <si>
    <t>石油コークス</t>
  </si>
  <si>
    <t>000017</t>
  </si>
  <si>
    <t>tCO2/t</t>
    <phoneticPr fontId="2"/>
  </si>
  <si>
    <t>石油アスファルト</t>
    <rPh sb="0" eb="2">
      <t>セキユ</t>
    </rPh>
    <phoneticPr fontId="2"/>
  </si>
  <si>
    <t>000016</t>
  </si>
  <si>
    <t>ナフサ</t>
  </si>
  <si>
    <t>000015</t>
  </si>
  <si>
    <t>原油のうちコンデンセート(NGL)</t>
  </si>
  <si>
    <t>000014</t>
  </si>
  <si>
    <t>原油(コンデンセートを除く)</t>
  </si>
  <si>
    <t>000013</t>
  </si>
  <si>
    <t>MJ</t>
  </si>
  <si>
    <t>冷水</t>
  </si>
  <si>
    <t>000012</t>
  </si>
  <si>
    <t>温水</t>
  </si>
  <si>
    <t>000011</t>
  </si>
  <si>
    <t>産業用以外の蒸気</t>
  </si>
  <si>
    <t>000010</t>
  </si>
  <si>
    <t>産業用蒸気</t>
    <rPh sb="0" eb="3">
      <t>サンギョウヨウ</t>
    </rPh>
    <rPh sb="3" eb="5">
      <t>ジョウキ</t>
    </rPh>
    <phoneticPr fontId="2"/>
  </si>
  <si>
    <t>000009</t>
  </si>
  <si>
    <t>LPG</t>
  </si>
  <si>
    <t>000008</t>
  </si>
  <si>
    <t>都市ガス</t>
    <rPh sb="0" eb="2">
      <t>トシ</t>
    </rPh>
    <phoneticPr fontId="2"/>
  </si>
  <si>
    <t>000007</t>
  </si>
  <si>
    <t>ガソリン</t>
  </si>
  <si>
    <t>000006</t>
  </si>
  <si>
    <t>tCO2/kL</t>
    <phoneticPr fontId="2"/>
  </si>
  <si>
    <t>tC/GJ</t>
    <phoneticPr fontId="2"/>
  </si>
  <si>
    <t>GJ/kL</t>
    <phoneticPr fontId="2"/>
  </si>
  <si>
    <t>灯油</t>
    <rPh sb="0" eb="2">
      <t>トウユ</t>
    </rPh>
    <phoneticPr fontId="2"/>
  </si>
  <si>
    <t>000005</t>
  </si>
  <si>
    <t>軽油</t>
    <rPh sb="0" eb="2">
      <t>ケイユ</t>
    </rPh>
    <phoneticPr fontId="2"/>
  </si>
  <si>
    <t>000004</t>
  </si>
  <si>
    <t>C重油</t>
    <rPh sb="1" eb="3">
      <t>ジュウユ</t>
    </rPh>
    <phoneticPr fontId="2"/>
  </si>
  <si>
    <t>000003</t>
  </si>
  <si>
    <t>B重油</t>
    <rPh sb="1" eb="3">
      <t>ジュウユ</t>
    </rPh>
    <phoneticPr fontId="2"/>
  </si>
  <si>
    <t>000002</t>
  </si>
  <si>
    <t>A重油</t>
    <rPh sb="1" eb="3">
      <t>ジュウユ</t>
    </rPh>
    <phoneticPr fontId="2"/>
  </si>
  <si>
    <t>000001</t>
    <phoneticPr fontId="2"/>
  </si>
  <si>
    <t>CONVERSION_VALUE_UNITS</t>
    <phoneticPr fontId="2"/>
  </si>
  <si>
    <t>CONVERSION_VALUE</t>
  </si>
  <si>
    <t>EMISSION_COEFFICIENT_UNITS</t>
    <phoneticPr fontId="2"/>
  </si>
  <si>
    <t>EMISSION_COEFFICIENT</t>
    <phoneticPr fontId="2"/>
  </si>
  <si>
    <t>UNIT_HEAT_GENERATION_UNITS</t>
    <phoneticPr fontId="2"/>
  </si>
  <si>
    <t>UNIT_HEAT_GENERATION</t>
    <phoneticPr fontId="2"/>
  </si>
  <si>
    <t>ENERGY_UNITS</t>
    <phoneticPr fontId="2"/>
  </si>
  <si>
    <t>ENERGY_NAME</t>
    <phoneticPr fontId="2"/>
  </si>
  <si>
    <t>CATEGORY</t>
    <phoneticPr fontId="2"/>
  </si>
  <si>
    <t>ENERGY_CODE</t>
  </si>
  <si>
    <r>
      <t>GJ/千Nm</t>
    </r>
    <r>
      <rPr>
        <vertAlign val="superscript"/>
        <sz val="11"/>
        <rFont val="Meiryo UI"/>
        <family val="3"/>
        <charset val="128"/>
      </rPr>
      <t>3</t>
    </r>
  </si>
  <si>
    <r>
      <t>G</t>
    </r>
    <r>
      <rPr>
        <sz val="11"/>
        <color theme="1"/>
        <rFont val="Meiryo UI"/>
        <family val="3"/>
        <charset val="128"/>
      </rPr>
      <t>J/GJ</t>
    </r>
  </si>
  <si>
    <r>
      <t>ｔCO</t>
    </r>
    <r>
      <rPr>
        <vertAlign val="subscript"/>
        <sz val="11"/>
        <rFont val="Meiryo UI"/>
        <family val="3"/>
        <charset val="128"/>
      </rPr>
      <t>2</t>
    </r>
    <r>
      <rPr>
        <sz val="11"/>
        <rFont val="Meiryo UI"/>
        <family val="3"/>
        <charset val="128"/>
      </rPr>
      <t>/ＧJ</t>
    </r>
  </si>
  <si>
    <r>
      <t>tCO</t>
    </r>
    <r>
      <rPr>
        <vertAlign val="subscript"/>
        <sz val="11"/>
        <rFont val="Meiryo UI"/>
        <family val="3"/>
        <charset val="128"/>
      </rPr>
      <t>2</t>
    </r>
    <r>
      <rPr>
        <sz val="11"/>
        <rFont val="Meiryo UI"/>
        <family val="3"/>
        <charset val="128"/>
      </rPr>
      <t>/kL</t>
    </r>
    <phoneticPr fontId="3"/>
  </si>
  <si>
    <r>
      <t>GJ/千Nm</t>
    </r>
    <r>
      <rPr>
        <vertAlign val="superscript"/>
        <sz val="11"/>
        <rFont val="Meiryo UI"/>
        <family val="3"/>
        <charset val="128"/>
      </rPr>
      <t>3</t>
    </r>
    <phoneticPr fontId="2"/>
  </si>
  <si>
    <r>
      <t>GJ/千</t>
    </r>
    <r>
      <rPr>
        <sz val="11"/>
        <color theme="1"/>
        <rFont val="Meiryo UI"/>
        <family val="3"/>
        <charset val="128"/>
      </rPr>
      <t>kWh</t>
    </r>
  </si>
  <si>
    <r>
      <t>tCO</t>
    </r>
    <r>
      <rPr>
        <vertAlign val="subscript"/>
        <sz val="11"/>
        <rFont val="Meiryo UI"/>
        <family val="3"/>
        <charset val="128"/>
      </rPr>
      <t>2</t>
    </r>
    <r>
      <rPr>
        <sz val="11"/>
        <rFont val="Meiryo UI"/>
        <family val="3"/>
        <charset val="128"/>
      </rPr>
      <t>/千kWh</t>
    </r>
    <rPh sb="5" eb="6">
      <t>セン</t>
    </rPh>
    <phoneticPr fontId="3"/>
  </si>
  <si>
    <r>
      <t>tCO</t>
    </r>
    <r>
      <rPr>
        <vertAlign val="subscript"/>
        <sz val="11"/>
        <rFont val="Meiryo UI"/>
        <family val="3"/>
        <charset val="128"/>
      </rPr>
      <t>2</t>
    </r>
    <r>
      <rPr>
        <sz val="11"/>
        <rFont val="Meiryo UI"/>
        <family val="3"/>
        <charset val="128"/>
      </rPr>
      <t>/千m</t>
    </r>
    <r>
      <rPr>
        <vertAlign val="superscript"/>
        <sz val="11"/>
        <rFont val="Meiryo UI"/>
        <family val="3"/>
        <charset val="128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</si>
</sst>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#,##0.000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vertAlign val="superscript"/>
      <sz val="11"/>
      <name val="Meiryo UI"/>
      <family val="3"/>
      <charset val="128"/>
    </font>
    <font>
      <vertAlign val="subscript"/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1" xfId="0" applyFont="1" applyBorder="1">
      <alignment vertical="center"/>
    </xf>
    <xf numFmtId="49" fontId="4" fillId="0" borderId="1" xfId="0" applyNumberFormat="1" applyFont="1" applyBorder="1">
      <alignment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4" fontId="5" fillId="0" borderId="1" xfId="1" applyNumberFormat="1" applyFont="1" applyBorder="1">
      <alignment vertical="center"/>
    </xf>
    <xf numFmtId="0" fontId="5" fillId="0" borderId="1" xfId="1" applyFont="1" applyBorder="1" applyAlignment="1">
      <alignment horizontal="left" vertical="center" wrapText="1"/>
    </xf>
    <xf numFmtId="177" fontId="4" fillId="0" borderId="1" xfId="1" applyNumberFormat="1" applyFont="1" applyBorder="1">
      <alignment vertical="center"/>
    </xf>
    <xf numFmtId="0" fontId="4" fillId="0" borderId="1" xfId="1" applyFont="1" applyBorder="1">
      <alignment vertical="center"/>
    </xf>
    <xf numFmtId="176" fontId="4" fillId="0" borderId="1" xfId="1" applyNumberFormat="1" applyFont="1" applyBorder="1">
      <alignment vertical="center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horizontal="left" vertical="center"/>
    </xf>
    <xf numFmtId="176" fontId="5" fillId="0" borderId="1" xfId="1" applyNumberFormat="1" applyFont="1" applyBorder="1">
      <alignment vertical="center"/>
    </xf>
  </cellXfs>
  <cellStyles count="2">
    <cellStyle name="標準" xfId="0" builtinId="0"/>
    <cellStyle name="標準 2" xfId="1" xr:uid="{84A6F292-6A7B-4CF9-98A9-CB35A6BB3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duser\Downloads\mst%204%20(1).xlsx" TargetMode="External"/><Relationship Id="rId1" Type="http://schemas.openxmlformats.org/officeDocument/2006/relationships/externalLinkPath" Target="/Users/msduser/Downloads/mst%204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deloitte.sharepoint.com/sites/TNC_/Shared%20Documents/06_&#12471;&#12511;&#12517;&#12524;&#12540;&#12471;&#12519;&#12531;&#12484;&#12540;&#12523;/&#21315;&#33865;&#24066;&#33073;&#28845;&#32032;&#12471;&#12511;&#12517;&#12524;&#12540;&#12471;&#12519;&#12531;&#12484;&#12540;&#12523;_&#30003;&#35531;&#29256;final_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1"/>
      <sheetName val="t2"/>
      <sheetName val="t3"/>
      <sheetName val="Sheet2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取り図"/>
      <sheetName val="前提数値"/>
      <sheetName val="＞申請書"/>
      <sheetName val="2-2"/>
      <sheetName val="2-2 (ast)"/>
      <sheetName val="2-3(1)"/>
      <sheetName val="2-3(2)"/>
      <sheetName val="2-3(2)(all ast)"/>
      <sheetName val="2-3(3)"/>
      <sheetName val="2-3(3)(all ast)"/>
      <sheetName val="2-4(1)-1"/>
      <sheetName val="2-4(1)-1 (all ast)"/>
      <sheetName val="2-4(1)-2"/>
      <sheetName val="2-4(1)-2 (all ast)"/>
      <sheetName val="2-4(1)-3"/>
      <sheetName val="2-4(1)-3 (all ast)"/>
      <sheetName val="2-4(1)-4"/>
      <sheetName val="2-4(1)-4 (all ast)"/>
      <sheetName val="2-4(1)-5"/>
      <sheetName val="2-4(1)-5 (all ast)"/>
      <sheetName val="2-4(1)-6"/>
      <sheetName val="2-4(1)-6 (all ast)"/>
      <sheetName val="2-4(2)"/>
      <sheetName val="2-4(2)(all ast)"/>
      <sheetName val="2-5(1)"/>
      <sheetName val="2-5(2)"/>
      <sheetName val="2-5(2)(all ast)"/>
      <sheetName val="3-2"/>
      <sheetName val="＞メインシート"/>
      <sheetName val="実質ゼロに向けた取り組み"/>
      <sheetName val="交付金金額"/>
      <sheetName val="施策サマリ"/>
      <sheetName val="先行地域の対象公共施設一覧"/>
      <sheetName val="先行地域の対象公共施設一覧 (アウトプット)"/>
      <sheetName val="公共施設考え方サマリ "/>
      <sheetName val="公共施設PV&amp;EMS検討"/>
      <sheetName val="＞諸元"/>
      <sheetName val="TNC様回答集計"/>
      <sheetName val="20220805千葉市様確認（高圧・特高）"/>
      <sheetName val="20220812千葉市様確認（低圧）"/>
      <sheetName val="高圧施設の需要量分布"/>
      <sheetName val="公共施設PV自家消費"/>
      <sheetName val="イオンモール＆セブン"/>
      <sheetName val="TNC_PV設置事業"/>
      <sheetName val="フロートPV"/>
      <sheetName val="住宅築年数整理（建て方区分）"/>
      <sheetName val="2-3(2)別表2作成用"/>
      <sheetName val="費用効率性計算"/>
      <sheetName val="メッセLED"/>
      <sheetName val="新築ZEH省エネ効果"/>
      <sheetName val="EVシェアサイクルCO2削減量試算"/>
      <sheetName val="＞Raw"/>
      <sheetName val="資産カルテ_面積"/>
      <sheetName val="ごみ発_3工場分"/>
      <sheetName val="清掃工場売電"/>
      <sheetName val="回答様式（元データ_752施設）"/>
      <sheetName val="千葉市様高圧回答（ベタ打ち）"/>
      <sheetName val="公共施設既設PV_施設種別順"/>
      <sheetName val="TNC様_第1弾"/>
      <sheetName val="TNC様_第2弾、第3弾以降"/>
      <sheetName val="住宅築年数（建て方区分）"/>
      <sheetName val="REPOS 概要版"/>
      <sheetName val="REPOS 詳細版②"/>
      <sheetName val="調整池一覧"/>
      <sheetName val="MM_回答様式"/>
      <sheetName val="PV1_設備概要　緒元"/>
      <sheetName val="PV2_別紙1-1添付１"/>
      <sheetName val="PV3_事業実施場所"/>
      <sheetName val="PV4_CO2削減効果 (44箇所)"/>
      <sheetName val="家庭部門のCO2排出実態統計 図1-66"/>
      <sheetName val="公共施設電力使用量調査"/>
      <sheetName val="再エネ発電効果算定"/>
      <sheetName val="EV効果算定（乗用車）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19DF-2B16-40D1-933C-745898F5450D}">
  <dimension ref="A1:J33"/>
  <sheetViews>
    <sheetView tabSelected="1" zoomScale="115" zoomScaleNormal="115" workbookViewId="0"/>
  </sheetViews>
  <sheetFormatPr defaultRowHeight="18.75" x14ac:dyDescent="0.4"/>
  <cols>
    <col min="1" max="1" width="14.875" bestFit="1" customWidth="1"/>
    <col min="2" max="2" width="10.125" customWidth="1"/>
    <col min="3" max="3" width="29.125" bestFit="1" customWidth="1"/>
    <col min="4" max="4" width="15.375" bestFit="1" customWidth="1"/>
    <col min="5" max="5" width="24.875" bestFit="1" customWidth="1"/>
    <col min="6" max="6" width="31.875" bestFit="1" customWidth="1"/>
    <col min="7" max="7" width="23.625" bestFit="1" customWidth="1"/>
    <col min="8" max="8" width="30.625" bestFit="1" customWidth="1"/>
    <col min="9" max="9" width="20.625" bestFit="1" customWidth="1"/>
    <col min="10" max="10" width="27.375" bestFit="1" customWidth="1"/>
  </cols>
  <sheetData>
    <row r="1" spans="1:10" x14ac:dyDescent="0.4">
      <c r="A1" s="1" t="s">
        <v>92</v>
      </c>
      <c r="B1" s="1" t="s">
        <v>91</v>
      </c>
      <c r="C1" s="1" t="s">
        <v>90</v>
      </c>
      <c r="D1" s="1" t="s">
        <v>89</v>
      </c>
      <c r="E1" s="1" t="s">
        <v>88</v>
      </c>
      <c r="F1" s="1" t="s">
        <v>87</v>
      </c>
      <c r="G1" s="1" t="s">
        <v>86</v>
      </c>
      <c r="H1" s="1" t="s">
        <v>85</v>
      </c>
      <c r="I1" s="1" t="s">
        <v>84</v>
      </c>
      <c r="J1" s="1" t="s">
        <v>83</v>
      </c>
    </row>
    <row r="2" spans="1:10" x14ac:dyDescent="0.4">
      <c r="A2" s="2" t="s">
        <v>82</v>
      </c>
      <c r="B2" s="3" t="s">
        <v>14</v>
      </c>
      <c r="C2" s="3" t="s">
        <v>81</v>
      </c>
      <c r="D2" s="4" t="s">
        <v>12</v>
      </c>
      <c r="E2" s="5">
        <v>39.1</v>
      </c>
      <c r="F2" s="6" t="s">
        <v>11</v>
      </c>
      <c r="G2" s="7">
        <v>1.89E-2</v>
      </c>
      <c r="H2" s="8" t="s">
        <v>10</v>
      </c>
      <c r="I2" s="9">
        <f>ROUND(E2*G2*44/12,4)</f>
        <v>2.7096</v>
      </c>
      <c r="J2" s="10" t="s">
        <v>9</v>
      </c>
    </row>
    <row r="3" spans="1:10" x14ac:dyDescent="0.4">
      <c r="A3" s="2" t="s">
        <v>80</v>
      </c>
      <c r="B3" s="3" t="s">
        <v>14</v>
      </c>
      <c r="C3" s="3" t="s">
        <v>79</v>
      </c>
      <c r="D3" s="4" t="s">
        <v>12</v>
      </c>
      <c r="E3" s="5">
        <v>41.9</v>
      </c>
      <c r="F3" s="6" t="s">
        <v>11</v>
      </c>
      <c r="G3" s="7">
        <v>1.95E-2</v>
      </c>
      <c r="H3" s="8" t="s">
        <v>10</v>
      </c>
      <c r="I3" s="9">
        <f>ROUND(E3*G3*44/12,4)</f>
        <v>2.9958999999999998</v>
      </c>
      <c r="J3" s="10" t="s">
        <v>9</v>
      </c>
    </row>
    <row r="4" spans="1:10" x14ac:dyDescent="0.4">
      <c r="A4" s="2" t="s">
        <v>78</v>
      </c>
      <c r="B4" s="3" t="s">
        <v>14</v>
      </c>
      <c r="C4" s="3" t="s">
        <v>77</v>
      </c>
      <c r="D4" s="4" t="s">
        <v>12</v>
      </c>
      <c r="E4" s="5">
        <v>41.9</v>
      </c>
      <c r="F4" s="6" t="s">
        <v>11</v>
      </c>
      <c r="G4" s="7">
        <v>1.95E-2</v>
      </c>
      <c r="H4" s="8" t="s">
        <v>10</v>
      </c>
      <c r="I4" s="9">
        <f>ROUND(E4*G4*44/12,4)</f>
        <v>2.9958999999999998</v>
      </c>
      <c r="J4" s="10" t="s">
        <v>9</v>
      </c>
    </row>
    <row r="5" spans="1:10" x14ac:dyDescent="0.4">
      <c r="A5" s="2" t="s">
        <v>76</v>
      </c>
      <c r="B5" s="3" t="s">
        <v>14</v>
      </c>
      <c r="C5" s="3" t="s">
        <v>75</v>
      </c>
      <c r="D5" s="4" t="s">
        <v>12</v>
      </c>
      <c r="E5" s="5">
        <v>37.700000000000003</v>
      </c>
      <c r="F5" s="6" t="s">
        <v>11</v>
      </c>
      <c r="G5" s="7">
        <v>1.8700000000000001E-2</v>
      </c>
      <c r="H5" s="8" t="s">
        <v>10</v>
      </c>
      <c r="I5" s="9">
        <f>ROUND(E5*G5*44/12,4)</f>
        <v>2.585</v>
      </c>
      <c r="J5" s="10" t="s">
        <v>9</v>
      </c>
    </row>
    <row r="6" spans="1:10" x14ac:dyDescent="0.4">
      <c r="A6" s="2" t="s">
        <v>74</v>
      </c>
      <c r="B6" s="3" t="s">
        <v>14</v>
      </c>
      <c r="C6" s="3" t="s">
        <v>73</v>
      </c>
      <c r="D6" s="4" t="s">
        <v>12</v>
      </c>
      <c r="E6" s="5">
        <v>36.700000000000003</v>
      </c>
      <c r="F6" s="6" t="s">
        <v>72</v>
      </c>
      <c r="G6" s="7">
        <v>1.8499999999999999E-2</v>
      </c>
      <c r="H6" s="8" t="s">
        <v>71</v>
      </c>
      <c r="I6" s="9">
        <f>ROUND(E6*G6*44/12,4)</f>
        <v>2.4895</v>
      </c>
      <c r="J6" s="10" t="s">
        <v>70</v>
      </c>
    </row>
    <row r="7" spans="1:10" x14ac:dyDescent="0.4">
      <c r="A7" s="2" t="s">
        <v>69</v>
      </c>
      <c r="B7" s="3" t="s">
        <v>14</v>
      </c>
      <c r="C7" s="3" t="s">
        <v>68</v>
      </c>
      <c r="D7" s="4" t="s">
        <v>12</v>
      </c>
      <c r="E7" s="5">
        <v>34.6</v>
      </c>
      <c r="F7" s="6" t="s">
        <v>11</v>
      </c>
      <c r="G7" s="7">
        <v>1.83E-2</v>
      </c>
      <c r="H7" s="8" t="s">
        <v>10</v>
      </c>
      <c r="I7" s="9">
        <f>ROUND(E7*G7*44/12,4)</f>
        <v>2.3216999999999999</v>
      </c>
      <c r="J7" s="10" t="s">
        <v>9</v>
      </c>
    </row>
    <row r="8" spans="1:10" x14ac:dyDescent="0.4">
      <c r="A8" s="2" t="s">
        <v>67</v>
      </c>
      <c r="B8" s="3" t="s">
        <v>14</v>
      </c>
      <c r="C8" s="3" t="s">
        <v>66</v>
      </c>
      <c r="D8" s="4" t="s">
        <v>17</v>
      </c>
      <c r="E8" s="5">
        <v>45</v>
      </c>
      <c r="F8" s="6" t="s">
        <v>93</v>
      </c>
      <c r="G8" s="7">
        <v>1.3599999999999999E-2</v>
      </c>
      <c r="H8" s="8" t="s">
        <v>10</v>
      </c>
      <c r="I8" s="9">
        <f>ROUND(E8*G8*44/12,4)</f>
        <v>2.2440000000000002</v>
      </c>
      <c r="J8" s="10" t="s">
        <v>16</v>
      </c>
    </row>
    <row r="9" spans="1:10" x14ac:dyDescent="0.4">
      <c r="A9" s="2" t="s">
        <v>65</v>
      </c>
      <c r="B9" s="3" t="s">
        <v>14</v>
      </c>
      <c r="C9" s="3" t="s">
        <v>64</v>
      </c>
      <c r="D9" s="4" t="s">
        <v>26</v>
      </c>
      <c r="E9" s="5">
        <v>50.8</v>
      </c>
      <c r="F9" s="6" t="s">
        <v>25</v>
      </c>
      <c r="G9" s="7">
        <v>1.61E-2</v>
      </c>
      <c r="H9" s="8" t="s">
        <v>10</v>
      </c>
      <c r="I9" s="9">
        <f>ROUND(E9*G9*44/12,4)</f>
        <v>2.9988999999999999</v>
      </c>
      <c r="J9" s="10" t="s">
        <v>24</v>
      </c>
    </row>
    <row r="10" spans="1:10" x14ac:dyDescent="0.4">
      <c r="A10" s="2" t="s">
        <v>63</v>
      </c>
      <c r="B10" s="3" t="s">
        <v>14</v>
      </c>
      <c r="C10" s="3" t="s">
        <v>62</v>
      </c>
      <c r="D10" s="4" t="s">
        <v>55</v>
      </c>
      <c r="E10" s="5">
        <v>1.02</v>
      </c>
      <c r="F10" s="11" t="s">
        <v>94</v>
      </c>
      <c r="G10" s="7"/>
      <c r="H10" s="8"/>
      <c r="I10" s="9">
        <f>ROUND(E10*G10*44/12,4)</f>
        <v>0</v>
      </c>
      <c r="J10" s="10" t="s">
        <v>95</v>
      </c>
    </row>
    <row r="11" spans="1:10" x14ac:dyDescent="0.4">
      <c r="A11" s="2" t="s">
        <v>61</v>
      </c>
      <c r="B11" s="3" t="s">
        <v>14</v>
      </c>
      <c r="C11" s="3" t="s">
        <v>60</v>
      </c>
      <c r="D11" s="4" t="s">
        <v>55</v>
      </c>
      <c r="E11" s="5">
        <v>1.36</v>
      </c>
      <c r="F11" s="11" t="s">
        <v>94</v>
      </c>
      <c r="G11" s="7"/>
      <c r="H11" s="8"/>
      <c r="I11" s="9">
        <f>ROUND(E11*G11*44/12,4)</f>
        <v>0</v>
      </c>
      <c r="J11" s="10" t="s">
        <v>95</v>
      </c>
    </row>
    <row r="12" spans="1:10" x14ac:dyDescent="0.4">
      <c r="A12" s="2" t="s">
        <v>59</v>
      </c>
      <c r="B12" s="3" t="s">
        <v>14</v>
      </c>
      <c r="C12" s="3" t="s">
        <v>58</v>
      </c>
      <c r="D12" s="4" t="s">
        <v>55</v>
      </c>
      <c r="E12" s="5">
        <v>1.36</v>
      </c>
      <c r="F12" s="11" t="s">
        <v>94</v>
      </c>
      <c r="G12" s="7"/>
      <c r="H12" s="8"/>
      <c r="I12" s="9">
        <f>ROUND(E12*G12*44/12,4)</f>
        <v>0</v>
      </c>
      <c r="J12" s="10" t="s">
        <v>95</v>
      </c>
    </row>
    <row r="13" spans="1:10" x14ac:dyDescent="0.4">
      <c r="A13" s="2" t="s">
        <v>57</v>
      </c>
      <c r="B13" s="3" t="s">
        <v>14</v>
      </c>
      <c r="C13" s="3" t="s">
        <v>56</v>
      </c>
      <c r="D13" s="4" t="s">
        <v>55</v>
      </c>
      <c r="E13" s="5">
        <v>1.36</v>
      </c>
      <c r="F13" s="11" t="s">
        <v>94</v>
      </c>
      <c r="G13" s="7"/>
      <c r="H13" s="8"/>
      <c r="I13" s="9">
        <f>ROUND(E13*G13*44/12,4)</f>
        <v>0</v>
      </c>
      <c r="J13" s="10" t="s">
        <v>95</v>
      </c>
    </row>
    <row r="14" spans="1:10" x14ac:dyDescent="0.4">
      <c r="A14" s="2" t="s">
        <v>54</v>
      </c>
      <c r="B14" s="3" t="s">
        <v>14</v>
      </c>
      <c r="C14" s="3" t="s">
        <v>53</v>
      </c>
      <c r="D14" s="4" t="s">
        <v>12</v>
      </c>
      <c r="E14" s="5">
        <v>38.200000000000003</v>
      </c>
      <c r="F14" s="6" t="s">
        <v>11</v>
      </c>
      <c r="G14" s="7">
        <v>1.8700000000000001E-2</v>
      </c>
      <c r="H14" s="8" t="s">
        <v>10</v>
      </c>
      <c r="I14" s="9">
        <f>ROUND(E14*G14*44/12,4)</f>
        <v>2.6192000000000002</v>
      </c>
      <c r="J14" s="10" t="s">
        <v>96</v>
      </c>
    </row>
    <row r="15" spans="1:10" x14ac:dyDescent="0.4">
      <c r="A15" s="2" t="s">
        <v>52</v>
      </c>
      <c r="B15" s="3" t="s">
        <v>14</v>
      </c>
      <c r="C15" s="3" t="s">
        <v>51</v>
      </c>
      <c r="D15" s="4" t="s">
        <v>12</v>
      </c>
      <c r="E15" s="5">
        <v>35.299999999999997</v>
      </c>
      <c r="F15" s="6" t="s">
        <v>11</v>
      </c>
      <c r="G15" s="7">
        <v>1.84E-2</v>
      </c>
      <c r="H15" s="8" t="s">
        <v>10</v>
      </c>
      <c r="I15" s="9">
        <f>ROUND(E15*G15*44/12,4)</f>
        <v>2.3816000000000002</v>
      </c>
      <c r="J15" s="10" t="s">
        <v>9</v>
      </c>
    </row>
    <row r="16" spans="1:10" x14ac:dyDescent="0.4">
      <c r="A16" s="2" t="s">
        <v>50</v>
      </c>
      <c r="B16" s="3" t="s">
        <v>14</v>
      </c>
      <c r="C16" s="3" t="s">
        <v>49</v>
      </c>
      <c r="D16" s="4" t="s">
        <v>12</v>
      </c>
      <c r="E16" s="5">
        <v>33.6</v>
      </c>
      <c r="F16" s="6" t="s">
        <v>11</v>
      </c>
      <c r="G16" s="7">
        <v>1.8200000000000001E-2</v>
      </c>
      <c r="H16" s="8" t="s">
        <v>10</v>
      </c>
      <c r="I16" s="9">
        <f>ROUND(E16*G16*44/12,4)</f>
        <v>2.2422</v>
      </c>
      <c r="J16" s="10" t="s">
        <v>9</v>
      </c>
    </row>
    <row r="17" spans="1:10" x14ac:dyDescent="0.4">
      <c r="A17" s="2" t="s">
        <v>48</v>
      </c>
      <c r="B17" s="3" t="s">
        <v>14</v>
      </c>
      <c r="C17" s="3" t="s">
        <v>47</v>
      </c>
      <c r="D17" s="4" t="s">
        <v>26</v>
      </c>
      <c r="E17" s="5">
        <v>40.9</v>
      </c>
      <c r="F17" s="6" t="s">
        <v>25</v>
      </c>
      <c r="G17" s="7">
        <v>2.0799999999999999E-2</v>
      </c>
      <c r="H17" s="8" t="s">
        <v>10</v>
      </c>
      <c r="I17" s="9">
        <f>ROUND(E17*G17*44/12,4)</f>
        <v>3.1193</v>
      </c>
      <c r="J17" s="10" t="s">
        <v>46</v>
      </c>
    </row>
    <row r="18" spans="1:10" x14ac:dyDescent="0.4">
      <c r="A18" s="2" t="s">
        <v>45</v>
      </c>
      <c r="B18" s="3" t="s">
        <v>14</v>
      </c>
      <c r="C18" s="3" t="s">
        <v>44</v>
      </c>
      <c r="D18" s="4" t="s">
        <v>26</v>
      </c>
      <c r="E18" s="5">
        <v>29.9</v>
      </c>
      <c r="F18" s="6" t="s">
        <v>25</v>
      </c>
      <c r="G18" s="7">
        <v>2.5399999999999999E-2</v>
      </c>
      <c r="H18" s="8" t="s">
        <v>10</v>
      </c>
      <c r="I18" s="9">
        <f>ROUND(E18*G18*44/12,4)</f>
        <v>2.7847</v>
      </c>
      <c r="J18" s="10" t="s">
        <v>24</v>
      </c>
    </row>
    <row r="19" spans="1:10" x14ac:dyDescent="0.4">
      <c r="A19" s="2" t="s">
        <v>43</v>
      </c>
      <c r="B19" s="3" t="s">
        <v>14</v>
      </c>
      <c r="C19" s="3" t="s">
        <v>42</v>
      </c>
      <c r="D19" s="4" t="s">
        <v>26</v>
      </c>
      <c r="E19" s="5">
        <v>54.6</v>
      </c>
      <c r="F19" s="6" t="s">
        <v>25</v>
      </c>
      <c r="G19" s="7">
        <v>1.35E-2</v>
      </c>
      <c r="H19" s="8" t="s">
        <v>10</v>
      </c>
      <c r="I19" s="9">
        <f>ROUND(E19*G19*44/12,4)</f>
        <v>2.7027000000000001</v>
      </c>
      <c r="J19" s="10" t="s">
        <v>24</v>
      </c>
    </row>
    <row r="20" spans="1:10" x14ac:dyDescent="0.4">
      <c r="A20" s="2" t="s">
        <v>41</v>
      </c>
      <c r="B20" s="3" t="s">
        <v>14</v>
      </c>
      <c r="C20" s="3" t="s">
        <v>40</v>
      </c>
      <c r="D20" s="4" t="s">
        <v>17</v>
      </c>
      <c r="E20" s="5">
        <v>44.9</v>
      </c>
      <c r="F20" s="6" t="s">
        <v>97</v>
      </c>
      <c r="G20" s="7">
        <v>1.4200000000000001E-2</v>
      </c>
      <c r="H20" s="8" t="s">
        <v>10</v>
      </c>
      <c r="I20" s="9">
        <f>ROUND(E20*G20*44/12,4)</f>
        <v>2.3378000000000001</v>
      </c>
      <c r="J20" s="10" t="s">
        <v>39</v>
      </c>
    </row>
    <row r="21" spans="1:10" x14ac:dyDescent="0.4">
      <c r="A21" s="2" t="s">
        <v>38</v>
      </c>
      <c r="B21" s="3" t="s">
        <v>14</v>
      </c>
      <c r="C21" s="3" t="s">
        <v>37</v>
      </c>
      <c r="D21" s="4" t="s">
        <v>17</v>
      </c>
      <c r="E21" s="5">
        <v>43.5</v>
      </c>
      <c r="F21" s="6" t="s">
        <v>93</v>
      </c>
      <c r="G21" s="7">
        <v>1.3899999999999999E-2</v>
      </c>
      <c r="H21" s="8" t="s">
        <v>10</v>
      </c>
      <c r="I21" s="9">
        <f>ROUND(E21*G21*44/12,4)</f>
        <v>2.2170999999999998</v>
      </c>
      <c r="J21" s="10" t="s">
        <v>16</v>
      </c>
    </row>
    <row r="22" spans="1:10" x14ac:dyDescent="0.4">
      <c r="A22" s="2" t="s">
        <v>36</v>
      </c>
      <c r="B22" s="3" t="s">
        <v>14</v>
      </c>
      <c r="C22" s="3" t="s">
        <v>35</v>
      </c>
      <c r="D22" s="4" t="s">
        <v>26</v>
      </c>
      <c r="E22" s="5">
        <v>29</v>
      </c>
      <c r="F22" s="6" t="s">
        <v>25</v>
      </c>
      <c r="G22" s="7">
        <v>2.4500000000000001E-2</v>
      </c>
      <c r="H22" s="8" t="s">
        <v>10</v>
      </c>
      <c r="I22" s="9">
        <f>ROUND(E22*G22*44/12,4)</f>
        <v>2.6052</v>
      </c>
      <c r="J22" s="10" t="s">
        <v>24</v>
      </c>
    </row>
    <row r="23" spans="1:10" x14ac:dyDescent="0.4">
      <c r="A23" s="2" t="s">
        <v>34</v>
      </c>
      <c r="B23" s="3" t="s">
        <v>14</v>
      </c>
      <c r="C23" s="3" t="s">
        <v>33</v>
      </c>
      <c r="D23" s="4" t="s">
        <v>26</v>
      </c>
      <c r="E23" s="5">
        <v>25.7</v>
      </c>
      <c r="F23" s="6" t="s">
        <v>25</v>
      </c>
      <c r="G23" s="7">
        <v>2.47E-2</v>
      </c>
      <c r="H23" s="8" t="s">
        <v>10</v>
      </c>
      <c r="I23" s="9">
        <f>ROUND(E23*G23*44/12,4)</f>
        <v>2.3275999999999999</v>
      </c>
      <c r="J23" s="10" t="s">
        <v>24</v>
      </c>
    </row>
    <row r="24" spans="1:10" x14ac:dyDescent="0.4">
      <c r="A24" s="2" t="s">
        <v>32</v>
      </c>
      <c r="B24" s="3" t="s">
        <v>14</v>
      </c>
      <c r="C24" s="3" t="s">
        <v>31</v>
      </c>
      <c r="D24" s="4" t="s">
        <v>26</v>
      </c>
      <c r="E24" s="5">
        <v>26.9</v>
      </c>
      <c r="F24" s="6" t="s">
        <v>25</v>
      </c>
      <c r="G24" s="7">
        <v>2.5499999999999998E-2</v>
      </c>
      <c r="H24" s="8" t="s">
        <v>10</v>
      </c>
      <c r="I24" s="9">
        <f>ROUND(E24*G24*44/12,4)</f>
        <v>2.5152000000000001</v>
      </c>
      <c r="J24" s="10" t="s">
        <v>24</v>
      </c>
    </row>
    <row r="25" spans="1:10" x14ac:dyDescent="0.4">
      <c r="A25" s="2" t="s">
        <v>30</v>
      </c>
      <c r="B25" s="3" t="s">
        <v>14</v>
      </c>
      <c r="C25" s="3" t="s">
        <v>29</v>
      </c>
      <c r="D25" s="4" t="s">
        <v>26</v>
      </c>
      <c r="E25" s="5">
        <v>29.4</v>
      </c>
      <c r="F25" s="6" t="s">
        <v>25</v>
      </c>
      <c r="G25" s="7">
        <v>2.9399999999999999E-2</v>
      </c>
      <c r="H25" s="8" t="s">
        <v>10</v>
      </c>
      <c r="I25" s="9">
        <f>ROUND(E25*G25*44/12,4)</f>
        <v>3.1692999999999998</v>
      </c>
      <c r="J25" s="10" t="s">
        <v>24</v>
      </c>
    </row>
    <row r="26" spans="1:10" x14ac:dyDescent="0.4">
      <c r="A26" s="2" t="s">
        <v>28</v>
      </c>
      <c r="B26" s="3" t="s">
        <v>14</v>
      </c>
      <c r="C26" s="3" t="s">
        <v>27</v>
      </c>
      <c r="D26" s="4" t="s">
        <v>26</v>
      </c>
      <c r="E26" s="5">
        <v>37.299999999999997</v>
      </c>
      <c r="F26" s="6" t="s">
        <v>25</v>
      </c>
      <c r="G26" s="7">
        <v>2.0899999999999998E-2</v>
      </c>
      <c r="H26" s="8" t="s">
        <v>10</v>
      </c>
      <c r="I26" s="9">
        <f>ROUND(E26*G26*44/12,4)</f>
        <v>2.8584000000000001</v>
      </c>
      <c r="J26" s="10" t="s">
        <v>24</v>
      </c>
    </row>
    <row r="27" spans="1:10" x14ac:dyDescent="0.4">
      <c r="A27" s="2" t="s">
        <v>23</v>
      </c>
      <c r="B27" s="3" t="s">
        <v>14</v>
      </c>
      <c r="C27" s="3" t="s">
        <v>22</v>
      </c>
      <c r="D27" s="4" t="s">
        <v>17</v>
      </c>
      <c r="E27" s="5">
        <v>21.1</v>
      </c>
      <c r="F27" s="6" t="s">
        <v>93</v>
      </c>
      <c r="G27" s="7">
        <v>1.0999999999999999E-2</v>
      </c>
      <c r="H27" s="8" t="s">
        <v>10</v>
      </c>
      <c r="I27" s="9">
        <f>ROUND(E27*G27*44/12,4)</f>
        <v>0.85099999999999998</v>
      </c>
      <c r="J27" s="10" t="s">
        <v>16</v>
      </c>
    </row>
    <row r="28" spans="1:10" x14ac:dyDescent="0.4">
      <c r="A28" s="2" t="s">
        <v>21</v>
      </c>
      <c r="B28" s="3" t="s">
        <v>14</v>
      </c>
      <c r="C28" s="3" t="s">
        <v>20</v>
      </c>
      <c r="D28" s="4" t="s">
        <v>17</v>
      </c>
      <c r="E28" s="5">
        <v>3.41</v>
      </c>
      <c r="F28" s="6" t="s">
        <v>93</v>
      </c>
      <c r="G28" s="7">
        <v>2.63E-2</v>
      </c>
      <c r="H28" s="8" t="s">
        <v>10</v>
      </c>
      <c r="I28" s="9">
        <f>ROUND(E28*G28*44/12,4)</f>
        <v>0.32879999999999998</v>
      </c>
      <c r="J28" s="10" t="s">
        <v>16</v>
      </c>
    </row>
    <row r="29" spans="1:10" x14ac:dyDescent="0.4">
      <c r="A29" s="2" t="s">
        <v>19</v>
      </c>
      <c r="B29" s="3" t="s">
        <v>14</v>
      </c>
      <c r="C29" s="3" t="s">
        <v>18</v>
      </c>
      <c r="D29" s="4" t="s">
        <v>17</v>
      </c>
      <c r="E29" s="5">
        <v>8.41</v>
      </c>
      <c r="F29" s="6" t="s">
        <v>93</v>
      </c>
      <c r="G29" s="7">
        <v>3.8399999999999997E-2</v>
      </c>
      <c r="H29" s="8" t="s">
        <v>10</v>
      </c>
      <c r="I29" s="9">
        <f>ROUND(E29*G29*44/12,4)</f>
        <v>1.1840999999999999</v>
      </c>
      <c r="J29" s="10" t="s">
        <v>16</v>
      </c>
    </row>
    <row r="30" spans="1:10" x14ac:dyDescent="0.4">
      <c r="A30" s="2" t="s">
        <v>15</v>
      </c>
      <c r="B30" s="3" t="s">
        <v>14</v>
      </c>
      <c r="C30" s="3" t="s">
        <v>13</v>
      </c>
      <c r="D30" s="4" t="s">
        <v>12</v>
      </c>
      <c r="E30" s="5">
        <v>36.700000000000003</v>
      </c>
      <c r="F30" s="6" t="s">
        <v>11</v>
      </c>
      <c r="G30" s="7">
        <v>1.83E-2</v>
      </c>
      <c r="H30" s="8" t="s">
        <v>10</v>
      </c>
      <c r="I30" s="9">
        <f>ROUND(E30*G30*44/12,4)</f>
        <v>2.4626000000000001</v>
      </c>
      <c r="J30" s="10" t="s">
        <v>9</v>
      </c>
    </row>
    <row r="31" spans="1:10" x14ac:dyDescent="0.4">
      <c r="A31" s="2" t="s">
        <v>8</v>
      </c>
      <c r="B31" s="3" t="s">
        <v>2</v>
      </c>
      <c r="C31" s="3" t="s">
        <v>7</v>
      </c>
      <c r="D31" s="4" t="s">
        <v>6</v>
      </c>
      <c r="E31" s="5">
        <v>9.76</v>
      </c>
      <c r="F31" s="6" t="s">
        <v>98</v>
      </c>
      <c r="G31" s="1"/>
      <c r="H31" s="1"/>
      <c r="I31" s="9">
        <v>0.48899999999999999</v>
      </c>
      <c r="J31" s="10" t="s">
        <v>99</v>
      </c>
    </row>
    <row r="32" spans="1:10" x14ac:dyDescent="0.4">
      <c r="A32" s="2" t="s">
        <v>5</v>
      </c>
      <c r="B32" s="3" t="s">
        <v>2</v>
      </c>
      <c r="C32" s="3" t="s">
        <v>4</v>
      </c>
      <c r="D32" s="4" t="s">
        <v>0</v>
      </c>
      <c r="E32" s="1"/>
      <c r="F32" s="1"/>
      <c r="G32" s="1"/>
      <c r="H32" s="1"/>
      <c r="I32" s="12">
        <f>ROUND(E32*G32*44/12,4)</f>
        <v>0</v>
      </c>
      <c r="J32" s="10" t="s">
        <v>100</v>
      </c>
    </row>
    <row r="33" spans="1:10" x14ac:dyDescent="0.4">
      <c r="A33" s="2" t="s">
        <v>3</v>
      </c>
      <c r="B33" s="3" t="s">
        <v>2</v>
      </c>
      <c r="C33" s="3" t="s">
        <v>1</v>
      </c>
      <c r="D33" s="4" t="s">
        <v>0</v>
      </c>
      <c r="E33" s="1"/>
      <c r="F33" s="1"/>
      <c r="G33" s="1"/>
      <c r="H33" s="1"/>
      <c r="I33" s="12">
        <f>ROUND(E33*G33*44/12,4)</f>
        <v>0</v>
      </c>
      <c r="J33" s="10" t="s">
        <v>100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CONVERSION_COEFFICIENT_MST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 逗</dc:creator>
  <cp:lastModifiedBy>王 逗</cp:lastModifiedBy>
  <dcterms:created xsi:type="dcterms:W3CDTF">2024-03-22T10:53:37Z</dcterms:created>
  <dcterms:modified xsi:type="dcterms:W3CDTF">2024-03-22T10:54:14Z</dcterms:modified>
</cp:coreProperties>
</file>